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\\GFS02\G42b\54LaufendePROJEKTE\PROJECTS\2025_VH5041_TransNanoAF\Digitalization\2PP in OpenBis\"/>
    </mc:Choice>
  </mc:AlternateContent>
  <xr:revisionPtr revIDLastSave="0" documentId="13_ncr:1_{294FABF8-8D83-4D35-816D-2122A720509D}" xr6:coauthVersionLast="47" xr6:coauthVersionMax="47" xr10:uidLastSave="{00000000-0000-0000-0000-000000000000}"/>
  <bookViews>
    <workbookView xWindow="-110" yWindow="-110" windowWidth="19420" windowHeight="10300" xr2:uid="{23DE4217-3252-41E6-90E3-31DD535FFE58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" i="1"/>
  <c r="E26" i="1"/>
  <c r="E27" i="1"/>
  <c r="E28" i="1"/>
  <c r="E29" i="1"/>
  <c r="E30" i="1"/>
  <c r="E31" i="1"/>
  <c r="E32" i="1"/>
  <c r="E33" i="1"/>
  <c r="E34" i="1"/>
  <c r="E35" i="1"/>
  <c r="E3" i="1"/>
  <c r="E4" i="1"/>
  <c r="E5" i="1"/>
  <c r="E6" i="1"/>
  <c r="E22" i="1"/>
  <c r="E23" i="1"/>
  <c r="E24" i="1"/>
  <c r="E25" i="1"/>
  <c r="E2" i="1"/>
</calcChain>
</file>

<file path=xl/sharedStrings.xml><?xml version="1.0" encoding="utf-8"?>
<sst xmlns="http://schemas.openxmlformats.org/spreadsheetml/2006/main" count="68" uniqueCount="45">
  <si>
    <t>Code</t>
  </si>
  <si>
    <t>UV-Sheet_0001</t>
  </si>
  <si>
    <t>UV-Sheet_0002</t>
  </si>
  <si>
    <t>UV-Sheet_0003</t>
  </si>
  <si>
    <t>UV-Sheet_0004</t>
  </si>
  <si>
    <t>UV-Sheet_0005</t>
  </si>
  <si>
    <t>UV-Sheet_0006</t>
  </si>
  <si>
    <t>UV-Sheet_0007</t>
  </si>
  <si>
    <t>UV-Sheet_0008</t>
  </si>
  <si>
    <t>UV-Sheet_0009</t>
  </si>
  <si>
    <t>UV-Sheet_0010</t>
  </si>
  <si>
    <t>UV-Sheet_0011</t>
  </si>
  <si>
    <t>UV-Sheet_0012</t>
  </si>
  <si>
    <t>UV-Sheet_0013</t>
  </si>
  <si>
    <t>UV-Sheet_0014</t>
  </si>
  <si>
    <t>UV-Sheet_0015</t>
  </si>
  <si>
    <t>UV-Sheet_0016</t>
  </si>
  <si>
    <t>UV-Sheet_0017</t>
  </si>
  <si>
    <t>UV-Sheet_0018</t>
  </si>
  <si>
    <t>UV-Sheet_0019</t>
  </si>
  <si>
    <t>UV-Sheet_0020</t>
  </si>
  <si>
    <t>UV-Sheet_0021</t>
  </si>
  <si>
    <t>UV-Sheet_0022</t>
  </si>
  <si>
    <t>UV-Sheet_0023</t>
  </si>
  <si>
    <t>UV-Sheet_0024</t>
  </si>
  <si>
    <t>Person</t>
  </si>
  <si>
    <t>alinden</t>
  </si>
  <si>
    <t>jmuelle4</t>
  </si>
  <si>
    <t>fblessma</t>
  </si>
  <si>
    <t>Date</t>
  </si>
  <si>
    <t>Resin Name</t>
  </si>
  <si>
    <t>Resin Perm-ID</t>
  </si>
  <si>
    <t>Number of Sheets</t>
  </si>
  <si>
    <t>Instrumemt</t>
  </si>
  <si>
    <t>Perm ID</t>
  </si>
  <si>
    <t>20251013170349223-19039</t>
  </si>
  <si>
    <t>Vakuum-UV-Belichtungsgerät 2</t>
  </si>
  <si>
    <t>Duration [s]</t>
  </si>
  <si>
    <t>20250616 YSZ in PEG-DA 75wt% UV</t>
  </si>
  <si>
    <t>20251211150947794-23683</t>
  </si>
  <si>
    <t>20250616 YSZ in PEG-DA 78wt% UV</t>
  </si>
  <si>
    <t>20251014160731570-19059</t>
  </si>
  <si>
    <t>Spacer</t>
  </si>
  <si>
    <t>Uploaded</t>
  </si>
  <si>
    <t>Instrument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</si>
</sst>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2" fillId="0" borderId="1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A6874-79FC-487D-A1C2-8DD295862542}">
  <dimension ref="A1:K35"/>
  <sheetViews>
    <sheetView tabSelected="1" topLeftCell="E1" workbookViewId="0">
      <selection activeCell="F6" sqref="F6"/>
    </sheetView>
  </sheetViews>
  <sheetFormatPr baseColWidth="10" defaultRowHeight="14"/>
  <cols>
    <col min="1" max="1" width="15.33203125" customWidth="1"/>
    <col min="4" max="4" width="33.6640625" customWidth="1"/>
    <col min="5" max="5" width="23.58203125" customWidth="1"/>
    <col min="6" max="6" width="26.6640625" customWidth="1"/>
    <col min="7" max="8" width="25.6640625" customWidth="1"/>
    <col min="10" max="10" width="18.6640625" customWidth="1"/>
  </cols>
  <sheetData>
    <row r="1" spans="1:11" s="2" customFormat="1">
      <c r="A1" s="2" t="s">
        <v>0</v>
      </c>
      <c r="B1" s="2" t="s">
        <v>25</v>
      </c>
      <c r="C1" s="2" t="s">
        <v>29</v>
      </c>
      <c r="D1" s="2" t="s">
        <v>30</v>
      </c>
      <c r="E1" s="2" t="s">
        <v>31</v>
      </c>
      <c r="F1" s="2" t="s">
        <v>44</v>
      </c>
      <c r="G1" s="2" t="s">
        <v>34</v>
      </c>
      <c r="H1" s="2" t="s">
        <v>42</v>
      </c>
      <c r="I1" s="2" t="s">
        <v>37</v>
      </c>
      <c r="J1" s="2" t="s">
        <v>32</v>
      </c>
      <c r="K1" s="2" t="s">
        <v>43</v>
      </c>
    </row>
    <row r="2" spans="1:11">
      <c r="A2" t="s">
        <v>1</v>
      </c>
      <c r="B2" t="s">
        <v>26</v>
      </c>
      <c r="C2" s="1">
        <v>46093</v>
      </c>
      <c r="D2" t="s">
        <v>38</v>
      </c>
      <c r="E2" t="str">
        <f>IFERROR(VLOOKUP(D2,Tabelle2!$D$2:$E$49,2,FALSE),"")</f>
        <v>20251211150947794-23683</v>
      </c>
      <c r="F2" t="s">
        <v>36</v>
      </c>
      <c r="G2" t="str">
        <f>IFERROR(VLOOKUP(F2,Tabelle2!$F$2:$G$49,2,FALSE),"")</f>
        <v>20251013170349223-19039</v>
      </c>
      <c r="I2">
        <v>60</v>
      </c>
      <c r="J2">
        <v>10</v>
      </c>
    </row>
    <row r="3" spans="1:11">
      <c r="A3" t="s">
        <v>2</v>
      </c>
      <c r="B3" t="s">
        <v>27</v>
      </c>
      <c r="C3" s="1">
        <v>46093</v>
      </c>
      <c r="D3" t="s">
        <v>40</v>
      </c>
      <c r="E3" t="str">
        <f>IFERROR(VLOOKUP(D3,Tabelle2!$D$2:$E$49,2,FALSE),"")</f>
        <v>20251014160731570-19059</v>
      </c>
      <c r="G3" t="str">
        <f>IFERROR(VLOOKUP(F3,Tabelle2!$F$2:$G$49,2,FALSE),"")</f>
        <v/>
      </c>
    </row>
    <row r="4" spans="1:11">
      <c r="A4" t="s">
        <v>3</v>
      </c>
      <c r="B4" t="s">
        <v>28</v>
      </c>
      <c r="C4" s="1">
        <v>46093</v>
      </c>
      <c r="D4" t="s">
        <v>40</v>
      </c>
      <c r="E4" t="str">
        <f>IFERROR(VLOOKUP(D4,Tabelle2!$D$2:$E$49,2,FALSE),"")</f>
        <v>20251014160731570-19059</v>
      </c>
      <c r="G4" t="str">
        <f>IFERROR(VLOOKUP(F4,Tabelle2!$F$2:$G$49,2,FALSE),"")</f>
        <v/>
      </c>
    </row>
    <row r="5" spans="1:11">
      <c r="A5" t="s">
        <v>4</v>
      </c>
      <c r="B5" t="s">
        <v>27</v>
      </c>
      <c r="C5" s="1">
        <v>46122</v>
      </c>
      <c r="D5" t="s">
        <v>38</v>
      </c>
      <c r="E5" t="str">
        <f>IFERROR(VLOOKUP(D5,Tabelle2!$D$2:$E$49,2,FALSE),"")</f>
        <v>20251211150947794-23683</v>
      </c>
      <c r="G5" t="str">
        <f>IFERROR(VLOOKUP(F5,Tabelle2!$F$2:$G$49,2,FALSE),"")</f>
        <v/>
      </c>
    </row>
    <row r="6" spans="1:11">
      <c r="A6" t="s">
        <v>5</v>
      </c>
      <c r="B6" t="s">
        <v>26</v>
      </c>
      <c r="C6" s="1">
        <v>46122</v>
      </c>
      <c r="D6" t="s">
        <v>38</v>
      </c>
      <c r="E6" t="str">
        <f>IFERROR(VLOOKUP(D6,Tabelle2!$D$2:$E$49,2,FALSE),"")</f>
        <v>20251211150947794-23683</v>
      </c>
      <c r="F6" t="s">
        <v>36</v>
      </c>
      <c r="G6" t="str">
        <f>IFERROR(VLOOKUP(F6,Tabelle2!$F$2:$G$49,2,FALSE),"")</f>
        <v>20251013170349223-19039</v>
      </c>
      <c r="I6">
        <v>60</v>
      </c>
      <c r="J6">
        <v>5</v>
      </c>
    </row>
    <row r="7" spans="1:11">
      <c r="A7" t="s">
        <v>6</v>
      </c>
      <c r="B7" t="s">
        <v>27</v>
      </c>
      <c r="C7" s="1">
        <v>46125</v>
      </c>
      <c r="D7" t="s">
        <v>38</v>
      </c>
      <c r="E7" t="str">
        <f>IFERROR(VLOOKUP(D7,Tabelle2!$D$2:$E$49,2,FALSE),"")</f>
        <v>20251211150947794-23683</v>
      </c>
      <c r="F7" t="s">
        <v>36</v>
      </c>
      <c r="G7" t="str">
        <f>IFERROR(VLOOKUP(F7,Tabelle2!$F$2:$G$49,2,FALSE),"")</f>
        <v>20251013170349223-19039</v>
      </c>
      <c r="I7">
        <v>60</v>
      </c>
      <c r="J7">
        <v>6</v>
      </c>
    </row>
    <row r="8" spans="1:11">
      <c r="A8" t="s">
        <v>7</v>
      </c>
      <c r="E8" t="str">
        <f>IFERROR(VLOOKUP(D8,Tabelle2!$D$2:$E$49,2,FALSE),"")</f>
        <v/>
      </c>
      <c r="G8" t="str">
        <f>IFERROR(VLOOKUP(F8,Tabelle2!$F$2:$G$49,2,FALSE),"")</f>
        <v/>
      </c>
    </row>
    <row r="9" spans="1:11">
      <c r="A9" t="s">
        <v>8</v>
      </c>
      <c r="E9" t="str">
        <f>IFERROR(VLOOKUP(D9,Tabelle2!$D$2:$E$49,2,FALSE),"")</f>
        <v/>
      </c>
      <c r="G9" t="str">
        <f>IFERROR(VLOOKUP(F9,Tabelle2!$F$2:$G$49,2,FALSE),"")</f>
        <v/>
      </c>
    </row>
    <row r="10" spans="1:11">
      <c r="A10" t="s">
        <v>9</v>
      </c>
      <c r="E10" t="str">
        <f>IFERROR(VLOOKUP(D10,Tabelle2!$D$2:$E$49,2,FALSE),"")</f>
        <v/>
      </c>
      <c r="G10" t="str">
        <f>IFERROR(VLOOKUP(F10,Tabelle2!$F$2:$G$49,2,FALSE),"")</f>
        <v/>
      </c>
    </row>
    <row r="11" spans="1:11">
      <c r="A11" t="s">
        <v>10</v>
      </c>
      <c r="E11" t="str">
        <f>IFERROR(VLOOKUP(D11,Tabelle2!$D$2:$E$49,2,FALSE),"")</f>
        <v/>
      </c>
      <c r="G11" t="str">
        <f>IFERROR(VLOOKUP(F11,Tabelle2!$F$2:$G$49,2,FALSE),"")</f>
        <v/>
      </c>
    </row>
    <row r="12" spans="1:11">
      <c r="A12" t="s">
        <v>11</v>
      </c>
      <c r="E12" t="str">
        <f>IFERROR(VLOOKUP(D12,Tabelle2!$D$2:$E$49,2,FALSE),"")</f>
        <v/>
      </c>
      <c r="G12" t="str">
        <f>IFERROR(VLOOKUP(F12,Tabelle2!$F$2:$G$49,2,FALSE),"")</f>
        <v/>
      </c>
    </row>
    <row r="13" spans="1:11">
      <c r="A13" t="s">
        <v>12</v>
      </c>
      <c r="E13" t="str">
        <f>IFERROR(VLOOKUP(D13,Tabelle2!$D$2:$E$49,2,FALSE),"")</f>
        <v/>
      </c>
      <c r="G13" t="str">
        <f>IFERROR(VLOOKUP(F13,Tabelle2!$F$2:$G$49,2,FALSE),"")</f>
        <v/>
      </c>
    </row>
    <row r="14" spans="1:11">
      <c r="A14" t="s">
        <v>13</v>
      </c>
      <c r="E14" t="str">
        <f>IFERROR(VLOOKUP(D14,Tabelle2!$D$2:$E$49,2,FALSE),"")</f>
        <v/>
      </c>
      <c r="G14" t="str">
        <f>IFERROR(VLOOKUP(F14,Tabelle2!$F$2:$G$49,2,FALSE),"")</f>
        <v/>
      </c>
    </row>
    <row r="15" spans="1:11">
      <c r="A15" t="s">
        <v>14</v>
      </c>
      <c r="E15" t="str">
        <f>IFERROR(VLOOKUP(D15,Tabelle2!$D$2:$E$49,2,FALSE),"")</f>
        <v/>
      </c>
      <c r="G15" t="str">
        <f>IFERROR(VLOOKUP(F15,Tabelle2!$F$2:$G$49,2,FALSE),"")</f>
        <v/>
      </c>
    </row>
    <row r="16" spans="1:11">
      <c r="A16" t="s">
        <v>15</v>
      </c>
      <c r="E16" t="str">
        <f>IFERROR(VLOOKUP(D16,Tabelle2!$D$2:$E$49,2,FALSE),"")</f>
        <v/>
      </c>
      <c r="G16" t="str">
        <f>IFERROR(VLOOKUP(F16,Tabelle2!$F$2:$G$49,2,FALSE),"")</f>
        <v/>
      </c>
    </row>
    <row r="17" spans="1:7">
      <c r="A17" t="s">
        <v>16</v>
      </c>
      <c r="E17" t="str">
        <f>IFERROR(VLOOKUP(D17,Tabelle2!$D$2:$E$49,2,FALSE),"")</f>
        <v/>
      </c>
      <c r="G17" t="str">
        <f>IFERROR(VLOOKUP(F17,Tabelle2!$F$2:$G$49,2,FALSE),"")</f>
        <v/>
      </c>
    </row>
    <row r="18" spans="1:7">
      <c r="A18" t="s">
        <v>17</v>
      </c>
      <c r="E18" t="str">
        <f>IFERROR(VLOOKUP(D18,Tabelle2!$D$2:$E$49,2,FALSE),"")</f>
        <v/>
      </c>
      <c r="G18" t="str">
        <f>IFERROR(VLOOKUP(F18,Tabelle2!$F$2:$G$49,2,FALSE),"")</f>
        <v/>
      </c>
    </row>
    <row r="19" spans="1:7">
      <c r="A19" t="s">
        <v>18</v>
      </c>
      <c r="E19" t="str">
        <f>IFERROR(VLOOKUP(D19,Tabelle2!$D$2:$E$49,2,FALSE),"")</f>
        <v/>
      </c>
      <c r="G19" t="str">
        <f>IFERROR(VLOOKUP(F19,Tabelle2!$F$2:$G$49,2,FALSE),"")</f>
        <v/>
      </c>
    </row>
    <row r="20" spans="1:7">
      <c r="A20" t="s">
        <v>19</v>
      </c>
      <c r="E20" t="str">
        <f>IFERROR(VLOOKUP(D20,Tabelle2!$D$2:$E$49,2,FALSE),"")</f>
        <v/>
      </c>
      <c r="G20" t="str">
        <f>IFERROR(VLOOKUP(F20,Tabelle2!$F$2:$G$49,2,FALSE),"")</f>
        <v/>
      </c>
    </row>
    <row r="21" spans="1:7">
      <c r="A21" t="s">
        <v>20</v>
      </c>
      <c r="E21" t="str">
        <f>IFERROR(VLOOKUP(D21,Tabelle2!$D$2:$E$49,2,FALSE),"")</f>
        <v/>
      </c>
      <c r="G21" t="str">
        <f>IFERROR(VLOOKUP(F21,Tabelle2!$F$2:$G$49,2,FALSE),"")</f>
        <v/>
      </c>
    </row>
    <row r="22" spans="1:7">
      <c r="A22" t="s">
        <v>21</v>
      </c>
      <c r="E22" t="str">
        <f>IFERROR(VLOOKUP(D22,Tabelle2!$D$2:$E$49,2,FALSE),"")</f>
        <v/>
      </c>
      <c r="G22" t="str">
        <f>IFERROR(VLOOKUP(F22,Tabelle2!$F$2:$G$49,2,FALSE),"")</f>
        <v/>
      </c>
    </row>
    <row r="23" spans="1:7">
      <c r="A23" t="s">
        <v>22</v>
      </c>
      <c r="E23" t="str">
        <f>IFERROR(VLOOKUP(D23,Tabelle2!$D$2:$E$49,2,FALSE),"")</f>
        <v/>
      </c>
      <c r="G23" t="str">
        <f>IFERROR(VLOOKUP(F23,Tabelle2!$F$2:$G$49,2,FALSE),"")</f>
        <v/>
      </c>
    </row>
    <row r="24" spans="1:7">
      <c r="A24" t="s">
        <v>23</v>
      </c>
      <c r="E24" t="str">
        <f>IFERROR(VLOOKUP(D24,Tabelle2!$D$2:$E$49,2,FALSE),"")</f>
        <v/>
      </c>
      <c r="G24" t="str">
        <f>IFERROR(VLOOKUP(F24,Tabelle2!$F$2:$G$49,2,FALSE),"")</f>
        <v/>
      </c>
    </row>
    <row r="25" spans="1:7">
      <c r="A25" t="s">
        <v>24</v>
      </c>
      <c r="E25" t="str">
        <f>IFERROR(VLOOKUP(D25,Tabelle2!$D$2:$E$49,2,FALSE),"")</f>
        <v/>
      </c>
      <c r="G25" t="str">
        <f>IFERROR(VLOOKUP(F25,Tabelle2!$F$2:$G$49,2,FALSE),"")</f>
        <v/>
      </c>
    </row>
    <row r="26" spans="1:7">
      <c r="E26" t="str">
        <f>IFERROR(VLOOKUP(D26,Tabelle2!$D$2:$E$49,2,FALSE),"")</f>
        <v/>
      </c>
      <c r="G26" t="str">
        <f>IFERROR(VLOOKUP(F26,Tabelle2!$F$2:$G$49,2,FALSE),"")</f>
        <v/>
      </c>
    </row>
    <row r="27" spans="1:7">
      <c r="E27" t="str">
        <f>IFERROR(VLOOKUP(D27,Tabelle2!$D$2:$E$49,2,FALSE),"")</f>
        <v/>
      </c>
      <c r="G27" t="str">
        <f>IFERROR(VLOOKUP(F27,Tabelle2!$F$2:$G$49,2,FALSE),"")</f>
        <v/>
      </c>
    </row>
    <row r="28" spans="1:7">
      <c r="E28" t="str">
        <f>IFERROR(VLOOKUP(D28,Tabelle2!$D$2:$E$49,2,FALSE),"")</f>
        <v/>
      </c>
    </row>
    <row r="29" spans="1:7">
      <c r="E29" t="str">
        <f>IFERROR(VLOOKUP(D29,Tabelle2!$D$2:$E$49,2,FALSE),"")</f>
        <v/>
      </c>
    </row>
    <row r="30" spans="1:7">
      <c r="E30" t="str">
        <f>IFERROR(VLOOKUP(D30,Tabelle2!$D$2:$E$49,2,FALSE),"")</f>
        <v/>
      </c>
    </row>
    <row r="31" spans="1:7">
      <c r="E31" t="str">
        <f>IFERROR(VLOOKUP(D31,Tabelle2!$D$2:$E$49,2,FALSE),"")</f>
        <v/>
      </c>
    </row>
    <row r="32" spans="1:7">
      <c r="E32" t="str">
        <f>IFERROR(VLOOKUP(D32,Tabelle2!$D$2:$E$49,2,FALSE),"")</f>
        <v/>
      </c>
    </row>
    <row r="33" spans="5:5">
      <c r="E33" t="str">
        <f>IFERROR(VLOOKUP(D33,Tabelle2!$D$2:$E$49,2,FALSE),"")</f>
        <v/>
      </c>
    </row>
    <row r="34" spans="5:5">
      <c r="E34" t="str">
        <f>IFERROR(VLOOKUP(D34,Tabelle2!$D$2:$E$49,2,FALSE),"")</f>
        <v/>
      </c>
    </row>
    <row r="35" spans="5:5">
      <c r="E35" t="str">
        <f>IFERROR(VLOOKUP(D35,Tabelle2!$D$2:$E$49,2,FALSE),"")</f>
        <v/>
      </c>
    </row>
  </sheetData>
  <phoneticPr fontId="1" type="noConversion"/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E81BC4E-8B45-4897-AA00-C765C7860C73}">
          <x14:formula1>
            <xm:f>Tabelle2!$B$2:$B$4</xm:f>
          </x14:formula1>
          <xm:sqref>B2:B1048576</xm:sqref>
        </x14:dataValidation>
        <x14:dataValidation type="list" allowBlank="1" showInputMessage="1" showErrorMessage="1" xr:uid="{ACF554C3-0C38-4981-B698-C17CBC6E9797}">
          <x14:formula1>
            <xm:f>Tabelle2!$D$2:$D$3</xm:f>
          </x14:formula1>
          <xm:sqref>D2:D1048576</xm:sqref>
        </x14:dataValidation>
        <x14:dataValidation type="list" allowBlank="1" showInputMessage="1" showErrorMessage="1" xr:uid="{850A208B-AF27-461E-B221-96E9A4A3A0FD}">
          <x14:formula1>
            <xm:f>Tabelle2!$F$2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4530E-22F3-4BEB-87BB-61C952B5EB3A}">
  <dimension ref="A1:I4"/>
  <sheetViews>
    <sheetView workbookViewId="0">
      <selection activeCell="D3" sqref="D3"/>
    </sheetView>
  </sheetViews>
  <sheetFormatPr baseColWidth="10" defaultRowHeight="14"/>
  <cols>
    <col min="4" max="4" width="26.6640625" customWidth="1"/>
    <col min="5" max="5" width="23.6640625" customWidth="1"/>
    <col min="6" max="6" width="22.6640625" customWidth="1"/>
    <col min="7" max="7" width="25.6640625" customWidth="1"/>
    <col min="9" max="9" width="19.83203125" customWidth="1"/>
  </cols>
  <sheetData>
    <row r="1" spans="1:9">
      <c r="A1" t="s">
        <v>0</v>
      </c>
      <c r="B1" t="s">
        <v>25</v>
      </c>
      <c r="C1" t="s">
        <v>29</v>
      </c>
      <c r="D1" t="s">
        <v>30</v>
      </c>
      <c r="E1" t="s">
        <v>31</v>
      </c>
      <c r="F1" t="s">
        <v>33</v>
      </c>
      <c r="G1" t="s">
        <v>34</v>
      </c>
      <c r="H1" t="s">
        <v>37</v>
      </c>
      <c r="I1" t="s">
        <v>32</v>
      </c>
    </row>
    <row r="2" spans="1:9">
      <c r="B2" t="s">
        <v>26</v>
      </c>
      <c r="D2" t="s">
        <v>38</v>
      </c>
      <c r="E2" t="s">
        <v>39</v>
      </c>
      <c r="F2" t="s">
        <v>36</v>
      </c>
      <c r="G2" t="s">
        <v>35</v>
      </c>
    </row>
    <row r="3" spans="1:9">
      <c r="B3" t="s">
        <v>27</v>
      </c>
      <c r="D3" t="s">
        <v>40</v>
      </c>
      <c r="E3" t="s">
        <v>41</v>
      </c>
    </row>
    <row r="4" spans="1:9">
      <c r="B4" t="s">
        <v>28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Linden, Anna</dc:creator>
  <cp:lastModifiedBy>Rousseau, Tom</cp:lastModifiedBy>
  <dcterms:created xsi:type="dcterms:W3CDTF">2026-03-12T12:46:32Z</dcterms:created>
  <dcterms:modified xsi:type="dcterms:W3CDTF">2026-04-21T10:17:07Z</dcterms:modified>
</cp:coreProperties>
</file>